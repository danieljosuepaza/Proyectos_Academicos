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"/>
    </mc:Choice>
  </mc:AlternateContent>
  <xr:revisionPtr revIDLastSave="0" documentId="13_ncr:1_{135913EA-FF96-49A8-9987-0DBC352037F3}" xr6:coauthVersionLast="36" xr6:coauthVersionMax="36" xr10:uidLastSave="{00000000-0000-0000-0000-000000000000}"/>
  <bookViews>
    <workbookView xWindow="0" yWindow="0" windowWidth="7920" windowHeight="5025" xr2:uid="{31891198-147A-4EC3-A6FC-BADC03835C16}"/>
  </bookViews>
  <sheets>
    <sheet name="Hoja1" sheetId="1" r:id="rId1"/>
    <sheet name="Hoja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2" l="1"/>
  <c r="G2" i="2"/>
  <c r="D25" i="1"/>
  <c r="G5" i="2"/>
  <c r="G4" i="2"/>
  <c r="F3" i="2"/>
  <c r="G3" i="2" s="1"/>
  <c r="D24" i="1" l="1"/>
  <c r="D26" i="1" s="1"/>
  <c r="D27" i="1" s="1"/>
</calcChain>
</file>

<file path=xl/sharedStrings.xml><?xml version="1.0" encoding="utf-8"?>
<sst xmlns="http://schemas.openxmlformats.org/spreadsheetml/2006/main" count="36" uniqueCount="32">
  <si>
    <t>Tipo de Producto</t>
  </si>
  <si>
    <t>Precio</t>
  </si>
  <si>
    <t>Pentium</t>
  </si>
  <si>
    <t>Pentium II</t>
  </si>
  <si>
    <t>Pentium Celeron</t>
  </si>
  <si>
    <t>Pentium III</t>
  </si>
  <si>
    <t>Disco Duro 6 Gb</t>
  </si>
  <si>
    <t>Disco Duro 8 Gb</t>
  </si>
  <si>
    <t>Disco Duro 12 Gb</t>
  </si>
  <si>
    <t>Memoria RAM 4Mb</t>
  </si>
  <si>
    <t>Teclado Simple</t>
  </si>
  <si>
    <t>Teclado Doble</t>
  </si>
  <si>
    <t>Monitor Samsung</t>
  </si>
  <si>
    <t>Mon. Samg. SIC 3</t>
  </si>
  <si>
    <t>Mon. Sony</t>
  </si>
  <si>
    <t>Monitor Compaq</t>
  </si>
  <si>
    <t>Monitor IBM</t>
  </si>
  <si>
    <t>Kit Multimedia</t>
  </si>
  <si>
    <t>CELDAS VINCULADAS</t>
  </si>
  <si>
    <t>PRECIOS</t>
  </si>
  <si>
    <t>Tipo</t>
  </si>
  <si>
    <t>Memoria RAM</t>
  </si>
  <si>
    <t>Monitor</t>
  </si>
  <si>
    <t>Teclado</t>
  </si>
  <si>
    <t>Disco Duro</t>
  </si>
  <si>
    <t>COMPUTER SYSTEM S.A.C.</t>
  </si>
  <si>
    <t>AV. REP. DEL PERU 951 - COMAS</t>
  </si>
  <si>
    <t>PROFORMA</t>
  </si>
  <si>
    <t>PRECIO SIN IGV</t>
  </si>
  <si>
    <t>MULTIMEDIA (OPCIONAL)</t>
  </si>
  <si>
    <t>IGV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</si>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</sst>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S/-280A]#,##0.00"/>
    <numFmt numFmtId="165" formatCode="[$S/-C6B]\ #,##0.00"/>
  </numFmts>
  <fonts count="5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Alignment="1">
      <alignment horizontal="center"/>
    </xf>
    <xf numFmtId="0" fontId="0" fillId="0" borderId="0" xfId="0" applyBorder="1"/>
    <xf numFmtId="0" fontId="0" fillId="0" borderId="21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22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0" fillId="0" borderId="22" xfId="0" applyBorder="1"/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left" vertical="center"/>
    </xf>
    <xf numFmtId="0" fontId="3" fillId="0" borderId="0" xfId="0" applyFont="1" applyBorder="1"/>
    <xf numFmtId="0" fontId="0" fillId="0" borderId="23" xfId="0" applyBorder="1"/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 applyAlignment="1">
      <alignment horizontal="right" vertical="center"/>
    </xf>
    <xf numFmtId="164" fontId="0" fillId="0" borderId="5" xfId="0" applyNumberFormat="1" applyBorder="1" applyAlignment="1">
      <alignment horizontal="right" vertical="center"/>
    </xf>
    <xf numFmtId="164" fontId="0" fillId="0" borderId="6" xfId="0" applyNumberFormat="1" applyBorder="1" applyAlignment="1">
      <alignment horizontal="right" vertical="center"/>
    </xf>
    <xf numFmtId="164" fontId="0" fillId="0" borderId="7" xfId="0" applyNumberFormat="1" applyBorder="1" applyAlignment="1">
      <alignment horizontal="right" vertical="center"/>
    </xf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165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Hoja2!$F$2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Scroll" dx="22" fmlaLink="$E$5" inc="16" max="128" min="16" page="10" val="32"/>
</file>

<file path=xl/ctrlProps/ctrlProp7.xml><?xml version="1.0" encoding="utf-8"?>
<formControlPr xmlns="http://schemas.microsoft.com/office/spreadsheetml/2009/9/main" objectType="List" dx="22" fmlaLink="Hoja2!$F$4" fmlaRange="Hoja2!$B$12:$B$16" sel="4" val="2"/>
</file>

<file path=xl/ctrlProps/ctrlProp8.xml><?xml version="1.0" encoding="utf-8"?>
<formControlPr xmlns="http://schemas.microsoft.com/office/spreadsheetml/2009/9/main" objectType="Drop" dropStyle="combo" dx="22" fmlaLink="Hoja2!$F$5" fmlaRange="Hoja2!$B$10:$B$11" sel="2" val="0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fmlaLink="Hoja2!$F$6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ctrlProps/ctrlProp13.xml><?xml version="1.0" encoding="utf-8"?>
<formControlPr xmlns="http://schemas.microsoft.com/office/spreadsheetml/2009/9/main" objectType="CheckBox" fmlaLink="Hoja2!$F$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6</xdr:row>
          <xdr:rowOff>76200</xdr:rowOff>
        </xdr:from>
        <xdr:to>
          <xdr:col>2</xdr:col>
          <xdr:colOff>231198</xdr:colOff>
          <xdr:row>13</xdr:row>
          <xdr:rowOff>133350</xdr:rowOff>
        </xdr:to>
        <xdr:sp macro="" textlink="">
          <xdr:nvSpPr>
            <xdr:cNvPr id="2050" name="Group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Tipo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7</xdr:row>
          <xdr:rowOff>57150</xdr:rowOff>
        </xdr:from>
        <xdr:to>
          <xdr:col>1</xdr:col>
          <xdr:colOff>1009650</xdr:colOff>
          <xdr:row>8</xdr:row>
          <xdr:rowOff>85725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Pentium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8</xdr:row>
          <xdr:rowOff>152400</xdr:rowOff>
        </xdr:from>
        <xdr:to>
          <xdr:col>1</xdr:col>
          <xdr:colOff>1009650</xdr:colOff>
          <xdr:row>9</xdr:row>
          <xdr:rowOff>180975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Pentium II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10</xdr:row>
          <xdr:rowOff>57150</xdr:rowOff>
        </xdr:from>
        <xdr:to>
          <xdr:col>1</xdr:col>
          <xdr:colOff>1009650</xdr:colOff>
          <xdr:row>11</xdr:row>
          <xdr:rowOff>85725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Pentium Celeron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11</xdr:row>
          <xdr:rowOff>152400</xdr:rowOff>
        </xdr:from>
        <xdr:to>
          <xdr:col>1</xdr:col>
          <xdr:colOff>1009650</xdr:colOff>
          <xdr:row>12</xdr:row>
          <xdr:rowOff>180975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Pentium III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3</xdr:row>
          <xdr:rowOff>217344</xdr:rowOff>
        </xdr:from>
        <xdr:to>
          <xdr:col>4</xdr:col>
          <xdr:colOff>571500</xdr:colOff>
          <xdr:row>6</xdr:row>
          <xdr:rowOff>0</xdr:rowOff>
        </xdr:to>
        <xdr:sp macro="" textlink="">
          <xdr:nvSpPr>
            <xdr:cNvPr id="2058" name="Scroll Bar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757619</xdr:colOff>
          <xdr:row>7</xdr:row>
          <xdr:rowOff>53787</xdr:rowOff>
        </xdr:from>
        <xdr:to>
          <xdr:col>4</xdr:col>
          <xdr:colOff>623454</xdr:colOff>
          <xdr:row>9</xdr:row>
          <xdr:rowOff>103909</xdr:rowOff>
        </xdr:to>
        <xdr:sp macro="" textlink="">
          <xdr:nvSpPr>
            <xdr:cNvPr id="2059" name="List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B041F576-8DBC-41F1-929E-EB8A8DDE46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757671</xdr:colOff>
          <xdr:row>13</xdr:row>
          <xdr:rowOff>64994</xdr:rowOff>
        </xdr:from>
        <xdr:to>
          <xdr:col>4</xdr:col>
          <xdr:colOff>623454</xdr:colOff>
          <xdr:row>14</xdr:row>
          <xdr:rowOff>138545</xdr:rowOff>
        </xdr:to>
        <xdr:sp macro="" textlink="">
          <xdr:nvSpPr>
            <xdr:cNvPr id="2060" name="Drop Dow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99FB8D85-5C34-4DA1-B558-E5A083CD9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15</xdr:row>
          <xdr:rowOff>76200</xdr:rowOff>
        </xdr:from>
        <xdr:to>
          <xdr:col>2</xdr:col>
          <xdr:colOff>231198</xdr:colOff>
          <xdr:row>22</xdr:row>
          <xdr:rowOff>98714</xdr:rowOff>
        </xdr:to>
        <xdr:sp macro="" textlink="">
          <xdr:nvSpPr>
            <xdr:cNvPr id="2061" name="Group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EEF3BA97-A996-4DB1-A2E5-D1560A1C06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Disco Duro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16</xdr:row>
          <xdr:rowOff>123825</xdr:rowOff>
        </xdr:from>
        <xdr:to>
          <xdr:col>2</xdr:col>
          <xdr:colOff>78798</xdr:colOff>
          <xdr:row>17</xdr:row>
          <xdr:rowOff>135082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8366A764-843F-4210-B190-DC569EFF31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 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18</xdr:row>
          <xdr:rowOff>123825</xdr:rowOff>
        </xdr:from>
        <xdr:to>
          <xdr:col>2</xdr:col>
          <xdr:colOff>78798</xdr:colOff>
          <xdr:row>19</xdr:row>
          <xdr:rowOff>152400</xdr:rowOff>
        </xdr:to>
        <xdr:sp macro="" textlink="">
          <xdr:nvSpPr>
            <xdr:cNvPr id="2063" name="Option 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9DEAAD63-25FF-4729-AB71-6D9F25783A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8 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20</xdr:row>
          <xdr:rowOff>123825</xdr:rowOff>
        </xdr:from>
        <xdr:to>
          <xdr:col>2</xdr:col>
          <xdr:colOff>78798</xdr:colOff>
          <xdr:row>21</xdr:row>
          <xdr:rowOff>152400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9DE90A97-D3BA-48BE-8BDE-6C427E6FD0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12 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16</xdr:row>
          <xdr:rowOff>152400</xdr:rowOff>
        </xdr:from>
        <xdr:to>
          <xdr:col>4</xdr:col>
          <xdr:colOff>675409</xdr:colOff>
          <xdr:row>18</xdr:row>
          <xdr:rowOff>17318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9546751A-610B-4C71-96C4-C7B66BC7AE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Kit Multimedia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72A63-BD2F-422A-BE88-1BDDE9E23BE1}">
  <dimension ref="B1:E27"/>
  <sheetViews>
    <sheetView tabSelected="1" zoomScale="70" zoomScaleNormal="70" workbookViewId="0">
      <selection activeCell="G6" sqref="G6"/>
    </sheetView>
  </sheetViews>
  <sheetFormatPr baseColWidth="10" defaultRowHeight="15" x14ac:dyDescent="0.25"/>
  <cols>
    <col min="2" max="2" width="16.140625" customWidth="1"/>
    <col min="3" max="3" width="11.42578125" customWidth="1"/>
    <col min="4" max="4" width="19.140625" bestFit="1" customWidth="1"/>
    <col min="5" max="5" width="10.42578125" customWidth="1"/>
  </cols>
  <sheetData>
    <row r="1" spans="2:5" ht="15.75" thickBot="1" x14ac:dyDescent="0.3"/>
    <row r="2" spans="2:5" x14ac:dyDescent="0.25">
      <c r="B2" s="13" t="s">
        <v>25</v>
      </c>
      <c r="C2" s="14"/>
      <c r="D2" s="14"/>
      <c r="E2" s="15"/>
    </row>
    <row r="3" spans="2:5" ht="15.75" thickBot="1" x14ac:dyDescent="0.3">
      <c r="B3" s="16" t="s">
        <v>26</v>
      </c>
      <c r="C3" s="17"/>
      <c r="D3" s="17"/>
      <c r="E3" s="18"/>
    </row>
    <row r="4" spans="2:5" ht="18.75" x14ac:dyDescent="0.25">
      <c r="B4" s="28" t="s">
        <v>27</v>
      </c>
      <c r="C4" s="29"/>
      <c r="D4" s="29"/>
      <c r="E4" s="30"/>
    </row>
    <row r="5" spans="2:5" x14ac:dyDescent="0.25">
      <c r="B5" s="31"/>
      <c r="C5" s="20"/>
      <c r="D5" s="32" t="s">
        <v>21</v>
      </c>
      <c r="E5" s="33">
        <v>32</v>
      </c>
    </row>
    <row r="6" spans="2:5" x14ac:dyDescent="0.25">
      <c r="B6" s="31"/>
      <c r="C6" s="20"/>
      <c r="D6" s="32"/>
      <c r="E6" s="33"/>
    </row>
    <row r="7" spans="2:5" x14ac:dyDescent="0.25">
      <c r="B7" s="31"/>
      <c r="C7" s="20"/>
      <c r="D7" s="34" t="s">
        <v>22</v>
      </c>
      <c r="E7" s="35"/>
    </row>
    <row r="8" spans="2:5" x14ac:dyDescent="0.25">
      <c r="B8" s="31"/>
      <c r="C8" s="20"/>
      <c r="D8" s="20"/>
      <c r="E8" s="35"/>
    </row>
    <row r="9" spans="2:5" x14ac:dyDescent="0.25">
      <c r="B9" s="31"/>
      <c r="C9" s="20"/>
      <c r="D9" s="20"/>
      <c r="E9" s="35"/>
    </row>
    <row r="10" spans="2:5" x14ac:dyDescent="0.25">
      <c r="B10" s="31"/>
      <c r="C10" s="20"/>
      <c r="D10" s="20"/>
      <c r="E10" s="35"/>
    </row>
    <row r="11" spans="2:5" x14ac:dyDescent="0.25">
      <c r="B11" s="31"/>
      <c r="C11" s="20"/>
      <c r="D11" s="20"/>
      <c r="E11" s="35"/>
    </row>
    <row r="12" spans="2:5" x14ac:dyDescent="0.25">
      <c r="B12" s="31"/>
      <c r="C12" s="20"/>
      <c r="D12" s="20"/>
      <c r="E12" s="35"/>
    </row>
    <row r="13" spans="2:5" x14ac:dyDescent="0.25">
      <c r="B13" s="31"/>
      <c r="C13" s="20"/>
      <c r="D13" s="34" t="s">
        <v>23</v>
      </c>
      <c r="E13" s="35"/>
    </row>
    <row r="14" spans="2:5" x14ac:dyDescent="0.25">
      <c r="B14" s="31"/>
      <c r="C14" s="20"/>
      <c r="D14" s="20"/>
      <c r="E14" s="35"/>
    </row>
    <row r="15" spans="2:5" x14ac:dyDescent="0.25">
      <c r="B15" s="31"/>
      <c r="C15" s="20"/>
      <c r="D15" s="20"/>
      <c r="E15" s="35"/>
    </row>
    <row r="16" spans="2:5" x14ac:dyDescent="0.25">
      <c r="B16" s="31"/>
      <c r="C16" s="20"/>
      <c r="D16" s="20"/>
      <c r="E16" s="35"/>
    </row>
    <row r="17" spans="2:5" ht="15.75" thickBot="1" x14ac:dyDescent="0.3">
      <c r="B17" s="31"/>
      <c r="C17" s="20"/>
      <c r="D17" s="20"/>
      <c r="E17" s="35"/>
    </row>
    <row r="18" spans="2:5" ht="15.75" thickBot="1" x14ac:dyDescent="0.3">
      <c r="B18" s="31"/>
      <c r="C18" s="20"/>
      <c r="D18" s="8"/>
      <c r="E18" s="21"/>
    </row>
    <row r="19" spans="2:5" x14ac:dyDescent="0.25">
      <c r="B19" s="31"/>
      <c r="C19" s="20"/>
      <c r="D19" s="20"/>
      <c r="E19" s="35"/>
    </row>
    <row r="20" spans="2:5" x14ac:dyDescent="0.25">
      <c r="B20" s="31"/>
      <c r="C20" s="20"/>
      <c r="D20" s="20"/>
      <c r="E20" s="35"/>
    </row>
    <row r="21" spans="2:5" x14ac:dyDescent="0.25">
      <c r="B21" s="31"/>
      <c r="C21" s="20"/>
      <c r="D21" s="20"/>
      <c r="E21" s="35"/>
    </row>
    <row r="22" spans="2:5" x14ac:dyDescent="0.25">
      <c r="B22" s="31"/>
      <c r="C22" s="20"/>
      <c r="D22" s="20"/>
      <c r="E22" s="35"/>
    </row>
    <row r="23" spans="2:5" ht="15.75" thickBot="1" x14ac:dyDescent="0.3">
      <c r="B23" s="31"/>
      <c r="C23" s="20"/>
      <c r="D23" s="20"/>
      <c r="E23" s="35"/>
    </row>
    <row r="24" spans="2:5" x14ac:dyDescent="0.25">
      <c r="B24" s="22" t="s">
        <v>28</v>
      </c>
      <c r="C24" s="23"/>
      <c r="D24" s="36">
        <f>SUM(Hoja2!G2:G6)</f>
        <v>2443</v>
      </c>
      <c r="E24" s="37"/>
    </row>
    <row r="25" spans="2:5" x14ac:dyDescent="0.25">
      <c r="B25" s="24" t="s">
        <v>29</v>
      </c>
      <c r="C25" s="25"/>
      <c r="D25" s="38">
        <f>IF(Hoja2!F7,Hoja2!C17,0)</f>
        <v>0</v>
      </c>
      <c r="E25" s="39"/>
    </row>
    <row r="26" spans="2:5" x14ac:dyDescent="0.25">
      <c r="B26" s="24" t="s">
        <v>30</v>
      </c>
      <c r="C26" s="25"/>
      <c r="D26" s="38">
        <f>SUM(D24:D25)*0.18</f>
        <v>439.74</v>
      </c>
      <c r="E26" s="39"/>
    </row>
    <row r="27" spans="2:5" ht="15.75" thickBot="1" x14ac:dyDescent="0.3">
      <c r="B27" s="26" t="s">
        <v>31</v>
      </c>
      <c r="C27" s="27"/>
      <c r="D27" s="40">
        <f>D24+D25-D26</f>
        <v>2003.26</v>
      </c>
      <c r="E27" s="41"/>
    </row>
  </sheetData>
  <mergeCells count="11">
    <mergeCell ref="B26:C26"/>
    <mergeCell ref="B27:C27"/>
    <mergeCell ref="D24:E24"/>
    <mergeCell ref="D25:E25"/>
    <mergeCell ref="D26:E26"/>
    <mergeCell ref="D27:E27"/>
    <mergeCell ref="B4:E4"/>
    <mergeCell ref="D5:D6"/>
    <mergeCell ref="E5:E6"/>
    <mergeCell ref="B24:C24"/>
    <mergeCell ref="B25:C25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Group Box 2">
              <controlPr defaultSize="0" autoFill="0" autoPict="0">
                <anchor moveWithCells="1">
                  <from>
                    <xdr:col>1</xdr:col>
                    <xdr:colOff>152400</xdr:colOff>
                    <xdr:row>6</xdr:row>
                    <xdr:rowOff>76200</xdr:rowOff>
                  </from>
                  <to>
                    <xdr:col>2</xdr:col>
                    <xdr:colOff>228600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>
                <anchor moveWithCells="1">
                  <from>
                    <xdr:col>1</xdr:col>
                    <xdr:colOff>219075</xdr:colOff>
                    <xdr:row>7</xdr:row>
                    <xdr:rowOff>57150</xdr:rowOff>
                  </from>
                  <to>
                    <xdr:col>1</xdr:col>
                    <xdr:colOff>1009650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Option Button 7">
              <controlPr defaultSize="0" autoFill="0" autoLine="0" autoPict="0">
                <anchor moveWithCells="1">
                  <from>
                    <xdr:col>1</xdr:col>
                    <xdr:colOff>219075</xdr:colOff>
                    <xdr:row>8</xdr:row>
                    <xdr:rowOff>152400</xdr:rowOff>
                  </from>
                  <to>
                    <xdr:col>1</xdr:col>
                    <xdr:colOff>1009650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Option Button 8">
              <controlPr defaultSize="0" autoFill="0" autoLine="0" autoPict="0">
                <anchor moveWithCells="1">
                  <from>
                    <xdr:col>1</xdr:col>
                    <xdr:colOff>219075</xdr:colOff>
                    <xdr:row>10</xdr:row>
                    <xdr:rowOff>57150</xdr:rowOff>
                  </from>
                  <to>
                    <xdr:col>1</xdr:col>
                    <xdr:colOff>1009650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Option Button 9">
              <controlPr defaultSize="0" autoFill="0" autoLine="0" autoPict="0">
                <anchor moveWithCells="1">
                  <from>
                    <xdr:col>1</xdr:col>
                    <xdr:colOff>219075</xdr:colOff>
                    <xdr:row>11</xdr:row>
                    <xdr:rowOff>152400</xdr:rowOff>
                  </from>
                  <to>
                    <xdr:col>1</xdr:col>
                    <xdr:colOff>1009650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Scroll Bar 10">
              <controlPr defaultSize="0" autoPict="0">
                <anchor moveWithCells="1">
                  <from>
                    <xdr:col>4</xdr:col>
                    <xdr:colOff>352425</xdr:colOff>
                    <xdr:row>3</xdr:row>
                    <xdr:rowOff>219075</xdr:rowOff>
                  </from>
                  <to>
                    <xdr:col>4</xdr:col>
                    <xdr:colOff>571500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List Box 11">
              <controlPr defaultSize="0" autoLine="0" autoPict="0">
                <anchor moveWithCells="1">
                  <from>
                    <xdr:col>2</xdr:col>
                    <xdr:colOff>762000</xdr:colOff>
                    <xdr:row>7</xdr:row>
                    <xdr:rowOff>57150</xdr:rowOff>
                  </from>
                  <to>
                    <xdr:col>4</xdr:col>
                    <xdr:colOff>619125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Drop Down 12">
              <controlPr defaultSize="0" autoLine="0" autoPict="0">
                <anchor moveWithCells="1">
                  <from>
                    <xdr:col>2</xdr:col>
                    <xdr:colOff>762000</xdr:colOff>
                    <xdr:row>13</xdr:row>
                    <xdr:rowOff>66675</xdr:rowOff>
                  </from>
                  <to>
                    <xdr:col>4</xdr:col>
                    <xdr:colOff>619125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Group Box 13">
              <controlPr defaultSize="0" autoFill="0" autoPict="0">
                <anchor moveWithCells="1">
                  <from>
                    <xdr:col>1</xdr:col>
                    <xdr:colOff>152400</xdr:colOff>
                    <xdr:row>15</xdr:row>
                    <xdr:rowOff>76200</xdr:rowOff>
                  </from>
                  <to>
                    <xdr:col>2</xdr:col>
                    <xdr:colOff>228600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3" name="Option Button 14">
              <controlPr defaultSize="0" autoFill="0" autoLine="0" autoPict="0">
                <anchor moveWithCells="1">
                  <from>
                    <xdr:col>1</xdr:col>
                    <xdr:colOff>304800</xdr:colOff>
                    <xdr:row>16</xdr:row>
                    <xdr:rowOff>123825</xdr:rowOff>
                  </from>
                  <to>
                    <xdr:col>2</xdr:col>
                    <xdr:colOff>76200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4" name="Option Button 15">
              <controlPr defaultSize="0" autoFill="0" autoLine="0" autoPict="0">
                <anchor moveWithCells="1">
                  <from>
                    <xdr:col>1</xdr:col>
                    <xdr:colOff>304800</xdr:colOff>
                    <xdr:row>18</xdr:row>
                    <xdr:rowOff>123825</xdr:rowOff>
                  </from>
                  <to>
                    <xdr:col>2</xdr:col>
                    <xdr:colOff>76200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5" name="Option Button 16">
              <controlPr defaultSize="0" autoFill="0" autoLine="0" autoPict="0">
                <anchor moveWithCells="1">
                  <from>
                    <xdr:col>1</xdr:col>
                    <xdr:colOff>304800</xdr:colOff>
                    <xdr:row>20</xdr:row>
                    <xdr:rowOff>123825</xdr:rowOff>
                  </from>
                  <to>
                    <xdr:col>2</xdr:col>
                    <xdr:colOff>76200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Check Box 17">
              <controlPr defaultSize="0" autoFill="0" autoLine="0" autoPict="0">
                <anchor moveWithCells="1">
                  <from>
                    <xdr:col>2</xdr:col>
                    <xdr:colOff>752475</xdr:colOff>
                    <xdr:row>16</xdr:row>
                    <xdr:rowOff>152400</xdr:rowOff>
                  </from>
                  <to>
                    <xdr:col>4</xdr:col>
                    <xdr:colOff>676275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A05A5-FA80-4BE8-B4B8-85882498A027}">
  <dimension ref="B1:G17"/>
  <sheetViews>
    <sheetView workbookViewId="0"/>
  </sheetViews>
  <sheetFormatPr baseColWidth="10" defaultRowHeight="15" x14ac:dyDescent="0.25"/>
  <cols>
    <col min="2" max="2" width="18" bestFit="1" customWidth="1"/>
    <col min="5" max="5" width="14.140625" bestFit="1" customWidth="1"/>
    <col min="6" max="6" width="11.85546875" bestFit="1" customWidth="1"/>
  </cols>
  <sheetData>
    <row r="1" spans="2:7" ht="15.75" thickBot="1" x14ac:dyDescent="0.3">
      <c r="B1" s="8" t="s">
        <v>0</v>
      </c>
      <c r="C1" s="12" t="s">
        <v>1</v>
      </c>
      <c r="E1" s="19" t="s">
        <v>18</v>
      </c>
      <c r="F1" s="19"/>
      <c r="G1" t="s">
        <v>19</v>
      </c>
    </row>
    <row r="2" spans="2:7" x14ac:dyDescent="0.25">
      <c r="B2" s="9" t="s">
        <v>2</v>
      </c>
      <c r="C2" s="42">
        <v>450</v>
      </c>
      <c r="E2" s="1" t="s">
        <v>20</v>
      </c>
      <c r="F2" s="2">
        <v>4</v>
      </c>
      <c r="G2" s="42">
        <f>INDEX(C2:C5,F2)</f>
        <v>1200</v>
      </c>
    </row>
    <row r="3" spans="2:7" x14ac:dyDescent="0.25">
      <c r="B3" s="10" t="s">
        <v>3</v>
      </c>
      <c r="C3" s="43">
        <v>600</v>
      </c>
      <c r="E3" s="3" t="s">
        <v>21</v>
      </c>
      <c r="F3" s="4">
        <f>Hoja1!E5/4</f>
        <v>8</v>
      </c>
      <c r="G3" s="43">
        <f>C9*F3</f>
        <v>208</v>
      </c>
    </row>
    <row r="4" spans="2:7" x14ac:dyDescent="0.25">
      <c r="B4" s="10" t="s">
        <v>4</v>
      </c>
      <c r="C4" s="43">
        <v>980</v>
      </c>
      <c r="E4" s="3" t="s">
        <v>22</v>
      </c>
      <c r="F4" s="4">
        <v>4</v>
      </c>
      <c r="G4" s="43">
        <f>INDEX(C12:C16,F4)</f>
        <v>300</v>
      </c>
    </row>
    <row r="5" spans="2:7" ht="15.75" thickBot="1" x14ac:dyDescent="0.3">
      <c r="B5" s="11" t="s">
        <v>5</v>
      </c>
      <c r="C5" s="44">
        <v>1200</v>
      </c>
      <c r="E5" s="3" t="s">
        <v>23</v>
      </c>
      <c r="F5" s="4">
        <v>2</v>
      </c>
      <c r="G5" s="43">
        <f>INDEX(C10:C11,F5)</f>
        <v>15</v>
      </c>
    </row>
    <row r="6" spans="2:7" x14ac:dyDescent="0.25">
      <c r="B6" s="9" t="s">
        <v>6</v>
      </c>
      <c r="C6" s="42">
        <v>240</v>
      </c>
      <c r="E6" s="3" t="s">
        <v>24</v>
      </c>
      <c r="F6" s="4">
        <v>3</v>
      </c>
      <c r="G6" s="43">
        <f>INDEX(C6:C8,F6)</f>
        <v>720</v>
      </c>
    </row>
    <row r="7" spans="2:7" ht="15.75" thickBot="1" x14ac:dyDescent="0.3">
      <c r="B7" s="10" t="s">
        <v>7</v>
      </c>
      <c r="C7" s="43">
        <v>460</v>
      </c>
      <c r="E7" s="5" t="s">
        <v>17</v>
      </c>
      <c r="F7" s="6" t="b">
        <v>0</v>
      </c>
      <c r="G7" s="7"/>
    </row>
    <row r="8" spans="2:7" ht="15.75" thickBot="1" x14ac:dyDescent="0.3">
      <c r="B8" s="11" t="s">
        <v>8</v>
      </c>
      <c r="C8" s="44">
        <v>720</v>
      </c>
    </row>
    <row r="9" spans="2:7" ht="15.75" thickBot="1" x14ac:dyDescent="0.3">
      <c r="B9" s="8" t="s">
        <v>9</v>
      </c>
      <c r="C9" s="45">
        <v>26</v>
      </c>
    </row>
    <row r="10" spans="2:7" x14ac:dyDescent="0.25">
      <c r="B10" s="9" t="s">
        <v>10</v>
      </c>
      <c r="C10" s="42">
        <v>10</v>
      </c>
    </row>
    <row r="11" spans="2:7" ht="15.75" thickBot="1" x14ac:dyDescent="0.3">
      <c r="B11" s="11" t="s">
        <v>11</v>
      </c>
      <c r="C11" s="44">
        <v>15</v>
      </c>
    </row>
    <row r="12" spans="2:7" x14ac:dyDescent="0.25">
      <c r="B12" s="9" t="s">
        <v>12</v>
      </c>
      <c r="C12" s="42">
        <v>240</v>
      </c>
    </row>
    <row r="13" spans="2:7" x14ac:dyDescent="0.25">
      <c r="B13" s="10" t="s">
        <v>13</v>
      </c>
      <c r="C13" s="43">
        <v>350</v>
      </c>
    </row>
    <row r="14" spans="2:7" x14ac:dyDescent="0.25">
      <c r="B14" s="10" t="s">
        <v>14</v>
      </c>
      <c r="C14" s="43">
        <v>450</v>
      </c>
    </row>
    <row r="15" spans="2:7" x14ac:dyDescent="0.25">
      <c r="B15" s="10" t="s">
        <v>15</v>
      </c>
      <c r="C15" s="43">
        <v>300</v>
      </c>
    </row>
    <row r="16" spans="2:7" ht="15.75" thickBot="1" x14ac:dyDescent="0.3">
      <c r="B16" s="11" t="s">
        <v>16</v>
      </c>
      <c r="C16" s="44">
        <v>250</v>
      </c>
    </row>
    <row r="17" spans="2:3" ht="15.75" thickBot="1" x14ac:dyDescent="0.3">
      <c r="B17" s="8" t="s">
        <v>17</v>
      </c>
      <c r="C17" s="45">
        <v>300</v>
      </c>
    </row>
  </sheetData>
  <mergeCells count="1">
    <mergeCell ref="E1:F1"/>
  </mergeCells>
  <pageMargins left="0.7" right="0.7" top="0.75" bottom="0.75" header="0.3" footer="0.3"/>
  <ignoredErrors>
    <ignoredError sqref="G4:G6 G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2020-02-06T18:36:43Z</dcterms:created>
  <dcterms:modified xsi:type="dcterms:W3CDTF">2020-02-06T23:12:22Z</dcterms:modified>
</cp:coreProperties>
</file>