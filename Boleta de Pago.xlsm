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83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uario\OneDrive - Universidad de San Martin de Porres\Documentos\"/>
    </mc:Choice>
  </mc:AlternateContent>
  <xr:revisionPtr revIDLastSave="0" documentId="13_ncr:1_{0E0F56C4-B54E-4D9B-802F-2D4C97A7A8FD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Boleta" sheetId="4" r:id="rId1"/>
    <sheet name="tabla" sheetId="5" r:id="rId2"/>
    <sheet name="Consideraciones" sheetId="6" r:id="rId3"/>
  </sheets>
  <externalReferences>
    <externalReference r:id="rId4"/>
  </externalReferences>
  <definedNames>
    <definedName name="Afp">Consideraciones!$C$19:$D$22</definedName>
    <definedName name="_xlnm.Print_Area" localSheetId="0">Boleta!$A$1:$J$28</definedName>
    <definedName name="Cod">Boleta!$C$6</definedName>
    <definedName name="Codigo">tabla!$B$2:$B$13</definedName>
    <definedName name="Datos">tabla!$A$1:$L$13</definedName>
    <definedName name="lista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6" i="4" l="1"/>
  <c r="H23" i="4"/>
  <c r="H20" i="4"/>
  <c r="H18" i="4"/>
  <c r="H16" i="4"/>
  <c r="G16" i="4"/>
  <c r="D23" i="4"/>
  <c r="D20" i="4"/>
  <c r="D16" i="4"/>
  <c r="H14" i="4"/>
  <c r="H12" i="4"/>
  <c r="H10" i="4"/>
  <c r="H8" i="4"/>
  <c r="C14" i="4"/>
  <c r="C12" i="4"/>
  <c r="C10" i="4"/>
  <c r="C8" i="4"/>
</calcChain>
</file>

<file path=xl/sharedStrings.xml><?xml version="1.0" encoding="utf-8"?>
<sst xmlns="http://schemas.openxmlformats.org/spreadsheetml/2006/main" count="147" uniqueCount="102">
  <si>
    <t>AD-CONSULTORES S.A.</t>
  </si>
  <si>
    <t>Boleta de Pago</t>
  </si>
  <si>
    <t>Tipo de Trabajador</t>
  </si>
  <si>
    <t>Nombres</t>
  </si>
  <si>
    <t>Situación Laboral</t>
  </si>
  <si>
    <t>Cargo</t>
  </si>
  <si>
    <t>Afiliado</t>
  </si>
  <si>
    <t>Fecha Ingreso</t>
  </si>
  <si>
    <t>Básico</t>
  </si>
  <si>
    <t>AFP</t>
  </si>
  <si>
    <t>Bonificación</t>
  </si>
  <si>
    <t>ESSALUD</t>
  </si>
  <si>
    <t>Horas Extras</t>
  </si>
  <si>
    <t>Descuento</t>
  </si>
  <si>
    <t>Sub-Total Apor y Desc</t>
  </si>
  <si>
    <t>Firma Empleado</t>
  </si>
  <si>
    <t>Firma Empleador o Representante</t>
  </si>
  <si>
    <t>Nº</t>
  </si>
  <si>
    <t>CODIGO</t>
  </si>
  <si>
    <t>NOMBRE</t>
  </si>
  <si>
    <t>APELLIDOS</t>
  </si>
  <si>
    <t>CARGO</t>
  </si>
  <si>
    <t>DOCUMENTO</t>
  </si>
  <si>
    <t>FEC_NAC</t>
  </si>
  <si>
    <t>TIPO_TRABAJADOR</t>
  </si>
  <si>
    <t>SITUACION</t>
  </si>
  <si>
    <t>AFILIADO</t>
  </si>
  <si>
    <t>FEC_ING</t>
  </si>
  <si>
    <t>BASICO</t>
  </si>
  <si>
    <t>OPE-001</t>
  </si>
  <si>
    <t>Rocio</t>
  </si>
  <si>
    <t>Estrada  Velarde</t>
  </si>
  <si>
    <t>Gerente</t>
  </si>
  <si>
    <t>Empleado</t>
  </si>
  <si>
    <t>Contratado</t>
  </si>
  <si>
    <t>EL ROBLE</t>
  </si>
  <si>
    <t>OPE-002</t>
  </si>
  <si>
    <t>Luis Antonio</t>
  </si>
  <si>
    <t>Torres Alonso</t>
  </si>
  <si>
    <t>Asistente</t>
  </si>
  <si>
    <t>Estable</t>
  </si>
  <si>
    <t>INTEGRA</t>
  </si>
  <si>
    <t>OPE-003</t>
  </si>
  <si>
    <t>Iris del Pilar</t>
  </si>
  <si>
    <t>Alvarez Carranza</t>
  </si>
  <si>
    <t>HORIZONTE</t>
  </si>
  <si>
    <t>OPE-004</t>
  </si>
  <si>
    <t>Jhon</t>
  </si>
  <si>
    <t>Alarcon Robles</t>
  </si>
  <si>
    <t>Tecnico</t>
  </si>
  <si>
    <t>Obrero</t>
  </si>
  <si>
    <t>OPE-005</t>
  </si>
  <si>
    <t>Pedro</t>
  </si>
  <si>
    <t>Suarez Quispe</t>
  </si>
  <si>
    <t>OPE-006</t>
  </si>
  <si>
    <t>Magaly</t>
  </si>
  <si>
    <t>Jimenes Rios</t>
  </si>
  <si>
    <t>Secretaria</t>
  </si>
  <si>
    <t>OPE-007</t>
  </si>
  <si>
    <t>Liliam</t>
  </si>
  <si>
    <t>Diaz Cabrera</t>
  </si>
  <si>
    <t>OPE-008</t>
  </si>
  <si>
    <t>Jose Carlos</t>
  </si>
  <si>
    <t>Fuentes Carpio</t>
  </si>
  <si>
    <t>OPE-009</t>
  </si>
  <si>
    <t>Maribel</t>
  </si>
  <si>
    <t>Mendez Correa</t>
  </si>
  <si>
    <t>OPE-010</t>
  </si>
  <si>
    <t>Jose Maria</t>
  </si>
  <si>
    <t>Salazar Mejia</t>
  </si>
  <si>
    <t>OPE-011</t>
  </si>
  <si>
    <t xml:space="preserve">Miguel </t>
  </si>
  <si>
    <t>Hurtado Milla</t>
  </si>
  <si>
    <t>OPE-012</t>
  </si>
  <si>
    <t>Sofia</t>
  </si>
  <si>
    <t>Palomino Ruiz</t>
  </si>
  <si>
    <t>Considerar</t>
  </si>
  <si>
    <t>al seleccionar debe aparecer los datos del trabajador: nombre completo, cargo,fecha de nacimiento</t>
  </si>
  <si>
    <t>documento,tipo de trabajador, situacion, afiliado, fecha de ingreso</t>
  </si>
  <si>
    <t>SubTotalRemuneracion</t>
  </si>
  <si>
    <t>Debe Calcular:</t>
  </si>
  <si>
    <t xml:space="preserve">BONIFICACION </t>
  </si>
  <si>
    <t>HORAS EXTRAS</t>
  </si>
  <si>
    <t>Ademas debe obtener la suma de las Remuneraciones</t>
  </si>
  <si>
    <t>Debe calcular:</t>
  </si>
  <si>
    <t>afiliado</t>
  </si>
  <si>
    <t>aporte</t>
  </si>
  <si>
    <t>DESCUENTO</t>
  </si>
  <si>
    <t>Si no realizo hora extra en el mes tiene un descuento del 5% del basico</t>
  </si>
  <si>
    <t>Ademas debe obtener la suma de las Aportes y Descuentos</t>
  </si>
  <si>
    <t>Sub-Total Remuneración - Sub-Total Aportes y Descuentos</t>
  </si>
  <si>
    <t>Fecha Nacimiento</t>
  </si>
  <si>
    <t>Neto a Pagar</t>
  </si>
  <si>
    <t>SubTotRemuneracion</t>
  </si>
  <si>
    <t>DNI</t>
  </si>
  <si>
    <t>según la cantidad realizada se pagara 30 por cada hora extra</t>
  </si>
  <si>
    <t>del SubTotalRemunera</t>
  </si>
  <si>
    <r>
      <t xml:space="preserve">si es </t>
    </r>
    <r>
      <rPr>
        <b/>
        <sz val="11"/>
        <color theme="1"/>
        <rFont val="Calibri"/>
        <family val="2"/>
        <scheme val="minor"/>
      </rPr>
      <t>Empleado</t>
    </r>
    <r>
      <rPr>
        <sz val="11"/>
        <color theme="1"/>
        <rFont val="Calibri"/>
        <family val="2"/>
        <scheme val="minor"/>
      </rPr>
      <t xml:space="preserve"> sera de 5 % del basico, caso contrario 0.</t>
    </r>
  </si>
  <si>
    <t>Codigo de Empleado</t>
  </si>
  <si>
    <t>si tiene mas de 10 años de antigüedad laborando tiene un bono del 20% del basico, caso contrario 0</t>
  </si>
  <si>
    <t>debe ingresar la cantidad de Horas Extras realizada por el trabajador mediante INPUTBOX</t>
  </si>
  <si>
    <t>Utilizar CUADRO COMBINADO para listar todos los CODIGO's de los trabajadores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</si>
</sst>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 &quot;S/.&quot;\ * #,##0.00_ ;_ &quot;S/.&quot;\ * \-#,##0.00_ ;_ &quot;S/.&quot;\ * &quot;-&quot;??_ ;_ @_ "/>
    <numFmt numFmtId="165" formatCode="&quot;€&quot;\ #,##0.00"/>
  </numFmts>
  <fonts count="19" x14ac:knownFonts="1">
    <font>
      <sz val="11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theme="0" tint="-0.499984740745262"/>
      <name val="Calibri"/>
      <family val="2"/>
      <scheme val="minor"/>
    </font>
    <font>
      <sz val="2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26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name val="Calibri"/>
      <family val="2"/>
      <scheme val="minor"/>
    </font>
    <font>
      <sz val="14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20"/>
      <color theme="0" tint="-0.1499984740745262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0.74999237037263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164" fontId="13" fillId="0" borderId="0" applyFont="0" applyFill="0" applyBorder="0" applyAlignment="0" applyProtection="0"/>
    <xf numFmtId="9" fontId="13" fillId="0" borderId="0" applyFont="0" applyFill="0" applyBorder="0" applyAlignment="0" applyProtection="0"/>
  </cellStyleXfs>
  <cellXfs count="67">
    <xf numFmtId="0" fontId="0" fillId="0" borderId="0" xfId="0"/>
    <xf numFmtId="0" fontId="1" fillId="2" borderId="0" xfId="0" applyFont="1" applyFill="1"/>
    <xf numFmtId="0" fontId="0" fillId="2" borderId="0" xfId="0" applyFill="1"/>
    <xf numFmtId="0" fontId="0" fillId="3" borderId="0" xfId="0" applyFill="1"/>
    <xf numFmtId="0" fontId="3" fillId="2" borderId="0" xfId="0" applyFont="1" applyFill="1"/>
    <xf numFmtId="0" fontId="0" fillId="4" borderId="0" xfId="0" applyFill="1"/>
    <xf numFmtId="0" fontId="4" fillId="4" borderId="0" xfId="0" applyFont="1" applyFill="1"/>
    <xf numFmtId="0" fontId="4" fillId="2" borderId="1" xfId="0" applyFont="1" applyFill="1" applyBorder="1"/>
    <xf numFmtId="0" fontId="4" fillId="4" borderId="0" xfId="0" applyFont="1" applyFill="1" applyAlignment="1">
      <alignment horizontal="left"/>
    </xf>
    <xf numFmtId="0" fontId="4" fillId="2" borderId="0" xfId="0" applyFont="1" applyFill="1"/>
    <xf numFmtId="0" fontId="4" fillId="2" borderId="2" xfId="0" applyFont="1" applyFill="1" applyBorder="1"/>
    <xf numFmtId="0" fontId="4" fillId="2" borderId="3" xfId="0" applyFont="1" applyFill="1" applyBorder="1"/>
    <xf numFmtId="14" fontId="4" fillId="2" borderId="1" xfId="0" applyNumberFormat="1" applyFont="1" applyFill="1" applyBorder="1"/>
    <xf numFmtId="0" fontId="0" fillId="5" borderId="0" xfId="0" applyFill="1" applyAlignment="1">
      <alignment horizontal="right"/>
    </xf>
    <xf numFmtId="0" fontId="0" fillId="5" borderId="0" xfId="0" applyFill="1"/>
    <xf numFmtId="0" fontId="0" fillId="2" borderId="1" xfId="0" applyFill="1" applyBorder="1"/>
    <xf numFmtId="0" fontId="0" fillId="5" borderId="0" xfId="0" applyFill="1" applyAlignment="1">
      <alignment horizontal="center"/>
    </xf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8" xfId="0" applyFill="1" applyBorder="1"/>
    <xf numFmtId="0" fontId="0" fillId="2" borderId="9" xfId="0" applyFill="1" applyBorder="1"/>
    <xf numFmtId="165" fontId="0" fillId="2" borderId="0" xfId="0" applyNumberFormat="1" applyFill="1"/>
    <xf numFmtId="0" fontId="4" fillId="2" borderId="0" xfId="0" applyFont="1" applyFill="1" applyAlignment="1">
      <alignment horizontal="left"/>
    </xf>
    <xf numFmtId="0" fontId="6" fillId="7" borderId="0" xfId="0" applyFont="1" applyFill="1"/>
    <xf numFmtId="0" fontId="7" fillId="5" borderId="0" xfId="0" applyFont="1" applyFill="1"/>
    <xf numFmtId="0" fontId="4" fillId="5" borderId="0" xfId="0" applyFont="1" applyFill="1" applyAlignment="1">
      <alignment horizontal="left"/>
    </xf>
    <xf numFmtId="0" fontId="4" fillId="5" borderId="0" xfId="0" applyFont="1" applyFill="1"/>
    <xf numFmtId="0" fontId="8" fillId="8" borderId="0" xfId="0" applyFont="1" applyFill="1"/>
    <xf numFmtId="0" fontId="9" fillId="5" borderId="0" xfId="0" applyFont="1" applyFill="1"/>
    <xf numFmtId="0" fontId="10" fillId="5" borderId="0" xfId="0" applyFont="1" applyFill="1"/>
    <xf numFmtId="0" fontId="11" fillId="5" borderId="0" xfId="0" applyFont="1" applyFill="1"/>
    <xf numFmtId="0" fontId="12" fillId="9" borderId="0" xfId="0" applyFont="1" applyFill="1"/>
    <xf numFmtId="0" fontId="0" fillId="9" borderId="0" xfId="0" applyFill="1"/>
    <xf numFmtId="9" fontId="0" fillId="9" borderId="0" xfId="0" applyNumberFormat="1" applyFill="1"/>
    <xf numFmtId="0" fontId="12" fillId="5" borderId="0" xfId="0" applyFont="1" applyFill="1"/>
    <xf numFmtId="0" fontId="0" fillId="5" borderId="11" xfId="0" applyFill="1" applyBorder="1"/>
    <xf numFmtId="0" fontId="0" fillId="6" borderId="1" xfId="0" applyFill="1" applyBorder="1"/>
    <xf numFmtId="0" fontId="0" fillId="2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14" fontId="0" fillId="2" borderId="11" xfId="0" applyNumberFormat="1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4" fillId="4" borderId="0" xfId="0" applyFont="1" applyFill="1" applyAlignment="1">
      <alignment horizontal="right"/>
    </xf>
    <xf numFmtId="0" fontId="17" fillId="10" borderId="0" xfId="0" applyFont="1" applyFill="1" applyAlignment="1">
      <alignment horizontal="right"/>
    </xf>
    <xf numFmtId="0" fontId="18" fillId="2" borderId="0" xfId="0" applyFont="1" applyFill="1" applyAlignment="1">
      <alignment vertical="center"/>
    </xf>
    <xf numFmtId="9" fontId="0" fillId="5" borderId="1" xfId="0" applyNumberFormat="1" applyFill="1" applyBorder="1"/>
    <xf numFmtId="0" fontId="2" fillId="4" borderId="0" xfId="0" applyFont="1" applyFill="1" applyAlignment="1">
      <alignment horizontal="center" vertical="center"/>
    </xf>
    <xf numFmtId="0" fontId="0" fillId="2" borderId="2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164" fontId="5" fillId="2" borderId="4" xfId="1" applyFont="1" applyFill="1" applyBorder="1" applyAlignment="1">
      <alignment horizontal="center" vertical="center"/>
    </xf>
    <xf numFmtId="164" fontId="5" fillId="2" borderId="5" xfId="1" applyFont="1" applyFill="1" applyBorder="1" applyAlignment="1">
      <alignment horizontal="center" vertical="center"/>
    </xf>
    <xf numFmtId="164" fontId="5" fillId="2" borderId="6" xfId="1" applyFont="1" applyFill="1" applyBorder="1" applyAlignment="1">
      <alignment horizontal="center" vertical="center"/>
    </xf>
    <xf numFmtId="164" fontId="5" fillId="2" borderId="8" xfId="1" applyFont="1" applyFill="1" applyBorder="1" applyAlignment="1">
      <alignment horizontal="center" vertical="center"/>
    </xf>
    <xf numFmtId="164" fontId="5" fillId="2" borderId="0" xfId="1" applyFont="1" applyFill="1" applyBorder="1" applyAlignment="1">
      <alignment horizontal="center" vertical="center"/>
    </xf>
    <xf numFmtId="164" fontId="5" fillId="2" borderId="9" xfId="1" applyFont="1" applyFill="1" applyBorder="1" applyAlignment="1">
      <alignment horizontal="center" vertical="center"/>
    </xf>
    <xf numFmtId="164" fontId="5" fillId="2" borderId="10" xfId="1" applyFont="1" applyFill="1" applyBorder="1" applyAlignment="1">
      <alignment horizontal="center" vertical="center"/>
    </xf>
    <xf numFmtId="164" fontId="5" fillId="2" borderId="11" xfId="1" applyFont="1" applyFill="1" applyBorder="1" applyAlignment="1">
      <alignment horizontal="center" vertical="center"/>
    </xf>
    <xf numFmtId="164" fontId="5" fillId="2" borderId="12" xfId="1" applyFont="1" applyFill="1" applyBorder="1" applyAlignment="1">
      <alignment horizontal="center" vertical="center"/>
    </xf>
    <xf numFmtId="9" fontId="0" fillId="5" borderId="1" xfId="2" applyNumberFormat="1" applyFont="1" applyFill="1" applyBorder="1"/>
  </cellXfs>
  <cellStyles count="3">
    <cellStyle name="Moneda" xfId="1" builtinId="4"/>
    <cellStyle name="Normal" xfId="0" builtinId="0"/>
    <cellStyle name="Porcentaje" xfId="2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GBox" noThreeD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Drop" dropStyle="combo" dx="26" fmlaLink="C6" fmlaRange="Codigo" noThreeD="1" sel="10" val="4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678180</xdr:colOff>
          <xdr:row>4</xdr:row>
          <xdr:rowOff>68580</xdr:rowOff>
        </xdr:from>
        <xdr:to>
          <xdr:col>8</xdr:col>
          <xdr:colOff>144780</xdr:colOff>
          <xdr:row>14</xdr:row>
          <xdr:rowOff>30480</xdr:rowOff>
        </xdr:to>
        <xdr:sp macro="" textlink="">
          <xdr:nvSpPr>
            <xdr:cNvPr id="1025" name="Group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Datos Personales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678180</xdr:colOff>
          <xdr:row>14</xdr:row>
          <xdr:rowOff>121920</xdr:rowOff>
        </xdr:from>
        <xdr:to>
          <xdr:col>4</xdr:col>
          <xdr:colOff>228600</xdr:colOff>
          <xdr:row>23</xdr:row>
          <xdr:rowOff>60960</xdr:rowOff>
        </xdr:to>
        <xdr:sp macro="" textlink="">
          <xdr:nvSpPr>
            <xdr:cNvPr id="1026" name="Group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Remuneración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411480</xdr:colOff>
          <xdr:row>14</xdr:row>
          <xdr:rowOff>121920</xdr:rowOff>
        </xdr:from>
        <xdr:to>
          <xdr:col>8</xdr:col>
          <xdr:colOff>182880</xdr:colOff>
          <xdr:row>23</xdr:row>
          <xdr:rowOff>60960</xdr:rowOff>
        </xdr:to>
        <xdr:sp macro="" textlink="">
          <xdr:nvSpPr>
            <xdr:cNvPr id="1027" name="Group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es-P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Aportes y Descuentos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1181100</xdr:colOff>
          <xdr:row>28</xdr:row>
          <xdr:rowOff>190500</xdr:rowOff>
        </xdr:from>
        <xdr:to>
          <xdr:col>3</xdr:col>
          <xdr:colOff>716280</xdr:colOff>
          <xdr:row>30</xdr:row>
          <xdr:rowOff>45720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Restablecer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480060</xdr:colOff>
          <xdr:row>29</xdr:row>
          <xdr:rowOff>7620</xdr:rowOff>
        </xdr:from>
        <xdr:to>
          <xdr:col>6</xdr:col>
          <xdr:colOff>670560</xdr:colOff>
          <xdr:row>30</xdr:row>
          <xdr:rowOff>60960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Vista Previa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</xdr:row>
          <xdr:rowOff>205740</xdr:rowOff>
        </xdr:from>
        <xdr:to>
          <xdr:col>3</xdr:col>
          <xdr:colOff>0</xdr:colOff>
          <xdr:row>6</xdr:row>
          <xdr:rowOff>0</xdr:rowOff>
        </xdr:to>
        <xdr:sp macro="" textlink="">
          <xdr:nvSpPr>
            <xdr:cNvPr id="1035" name="Drop Dow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6</xdr:row>
          <xdr:rowOff>160020</xdr:rowOff>
        </xdr:from>
        <xdr:to>
          <xdr:col>2</xdr:col>
          <xdr:colOff>7620</xdr:colOff>
          <xdr:row>8</xdr:row>
          <xdr:rowOff>22860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Sub-Total Remuneración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15</xdr:row>
          <xdr:rowOff>7620</xdr:rowOff>
        </xdr:from>
        <xdr:to>
          <xdr:col>1</xdr:col>
          <xdr:colOff>1112520</xdr:colOff>
          <xdr:row>16</xdr:row>
          <xdr:rowOff>30480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Sub-Total Aportes y Desc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68580</xdr:colOff>
          <xdr:row>26</xdr:row>
          <xdr:rowOff>160020</xdr:rowOff>
        </xdr:from>
        <xdr:to>
          <xdr:col>1</xdr:col>
          <xdr:colOff>1112520</xdr:colOff>
          <xdr:row>28</xdr:row>
          <xdr:rowOff>22860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Neto a Pagar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L:\vba_cgi_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oria_1"/>
      <sheetName val="Teoria_2"/>
      <sheetName val="teoria_3"/>
      <sheetName val="Teoria_4"/>
      <sheetName val="formulario"/>
      <sheetName val="vba_cgi_3"/>
    </sheetNames>
    <definedNames>
      <definedName name="aportes"/>
      <definedName name="NETO_PAGAR"/>
      <definedName name="remunera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5"/>
  <dimension ref="B1:I30"/>
  <sheetViews>
    <sheetView tabSelected="1" zoomScaleNormal="100" workbookViewId="0">
      <selection activeCell="J16" sqref="J16"/>
    </sheetView>
  </sheetViews>
  <sheetFormatPr baseColWidth="10" defaultColWidth="11.44140625" defaultRowHeight="14.4" x14ac:dyDescent="0.3"/>
  <cols>
    <col min="1" max="1" width="11.44140625" style="2" customWidth="1"/>
    <col min="2" max="2" width="19.33203125" style="2" customWidth="1"/>
    <col min="3" max="3" width="13.44140625" style="2" customWidth="1"/>
    <col min="4" max="4" width="14.5546875" style="2" customWidth="1"/>
    <col min="5" max="5" width="11.44140625" style="2" customWidth="1"/>
    <col min="6" max="7" width="11.44140625" style="2"/>
    <col min="8" max="8" width="13.44140625" style="2" customWidth="1"/>
    <col min="9" max="9" width="4.44140625" style="2" customWidth="1"/>
    <col min="10" max="16384" width="11.44140625" style="2"/>
  </cols>
  <sheetData>
    <row r="1" spans="2:9" ht="21.75" customHeight="1" x14ac:dyDescent="0.7">
      <c r="B1" s="1"/>
      <c r="C1" s="51" t="s">
        <v>0</v>
      </c>
      <c r="D1" s="1"/>
      <c r="E1" s="1"/>
      <c r="F1" s="1"/>
      <c r="G1" s="1"/>
      <c r="H1" s="1"/>
    </row>
    <row r="2" spans="2:9" ht="6" customHeight="1" x14ac:dyDescent="0.3">
      <c r="B2" s="3"/>
      <c r="C2" s="3"/>
      <c r="D2" s="3"/>
      <c r="E2" s="3"/>
      <c r="F2" s="3"/>
      <c r="G2" s="3"/>
      <c r="H2" s="3"/>
      <c r="I2" s="3"/>
    </row>
    <row r="3" spans="2:9" s="4" customFormat="1" ht="17.25" customHeight="1" x14ac:dyDescent="0.5">
      <c r="B3" s="53" t="s">
        <v>1</v>
      </c>
      <c r="C3" s="53"/>
      <c r="D3" s="53"/>
      <c r="E3" s="53"/>
      <c r="F3" s="53"/>
      <c r="G3" s="53"/>
      <c r="H3" s="53"/>
      <c r="I3" s="53"/>
    </row>
    <row r="4" spans="2:9" ht="6" customHeight="1" x14ac:dyDescent="0.3">
      <c r="B4" s="3"/>
      <c r="C4" s="3"/>
      <c r="D4" s="3"/>
      <c r="E4" s="3"/>
      <c r="F4" s="3"/>
      <c r="G4" s="3"/>
      <c r="H4" s="3"/>
      <c r="I4" s="3"/>
    </row>
    <row r="5" spans="2:9" ht="17.25" customHeight="1" x14ac:dyDescent="0.3">
      <c r="B5" s="5"/>
      <c r="C5" s="5"/>
      <c r="D5" s="5"/>
      <c r="E5" s="5"/>
      <c r="F5" s="5"/>
      <c r="G5" s="5"/>
      <c r="H5" s="5"/>
      <c r="I5" s="5"/>
    </row>
    <row r="6" spans="2:9" s="9" customFormat="1" ht="12" x14ac:dyDescent="0.25">
      <c r="B6" s="50" t="s">
        <v>98</v>
      </c>
      <c r="C6" s="7">
        <v>10</v>
      </c>
      <c r="D6" s="6"/>
      <c r="E6" s="6"/>
      <c r="F6" s="6"/>
      <c r="G6" s="6"/>
      <c r="H6" s="6"/>
      <c r="I6" s="6"/>
    </row>
    <row r="7" spans="2:9" s="9" customFormat="1" ht="12" x14ac:dyDescent="0.25">
      <c r="B7" s="6"/>
      <c r="C7" s="6"/>
      <c r="D7" s="6"/>
      <c r="E7" s="6"/>
      <c r="F7" s="6"/>
      <c r="G7" s="6"/>
      <c r="H7" s="6"/>
      <c r="I7" s="6"/>
    </row>
    <row r="8" spans="2:9" s="9" customFormat="1" ht="12" x14ac:dyDescent="0.25">
      <c r="B8" s="49" t="s">
        <v>3</v>
      </c>
      <c r="C8" s="10" t="str">
        <f>VLOOKUP(Cod,Datos,3,0) &amp; " " &amp; VLOOKUP(Cod,Datos,4,0)</f>
        <v>Jose Maria Salazar Mejia</v>
      </c>
      <c r="D8" s="11"/>
      <c r="E8" s="6"/>
      <c r="F8" s="8" t="s">
        <v>2</v>
      </c>
      <c r="G8" s="6"/>
      <c r="H8" s="7" t="str">
        <f>VLOOKUP(Cod,Datos,8,0)</f>
        <v>Empleado</v>
      </c>
      <c r="I8" s="6"/>
    </row>
    <row r="9" spans="2:9" s="9" customFormat="1" ht="12" x14ac:dyDescent="0.25">
      <c r="B9" s="6"/>
      <c r="C9" s="6"/>
      <c r="D9" s="6"/>
      <c r="E9" s="6"/>
      <c r="F9" s="6"/>
      <c r="G9" s="6"/>
      <c r="H9" s="6"/>
      <c r="I9" s="6"/>
    </row>
    <row r="10" spans="2:9" s="9" customFormat="1" ht="12" x14ac:dyDescent="0.25">
      <c r="B10" s="49" t="s">
        <v>5</v>
      </c>
      <c r="C10" s="7" t="str">
        <f>VLOOKUP(Cod,Datos,5,0)</f>
        <v>Secretaria</v>
      </c>
      <c r="D10" s="6"/>
      <c r="E10" s="6"/>
      <c r="F10" s="6" t="s">
        <v>4</v>
      </c>
      <c r="G10" s="6"/>
      <c r="H10" s="7" t="str">
        <f>VLOOKUP(Cod,Datos,9,0)</f>
        <v>Estable</v>
      </c>
      <c r="I10" s="6"/>
    </row>
    <row r="11" spans="2:9" s="9" customFormat="1" ht="12" x14ac:dyDescent="0.25">
      <c r="B11" s="6"/>
      <c r="C11" s="6"/>
      <c r="D11" s="6"/>
      <c r="E11" s="6"/>
      <c r="F11" s="6"/>
      <c r="G11" s="6"/>
      <c r="H11" s="6"/>
      <c r="I11" s="6"/>
    </row>
    <row r="12" spans="2:9" s="9" customFormat="1" ht="12" x14ac:dyDescent="0.25">
      <c r="B12" s="49" t="s">
        <v>94</v>
      </c>
      <c r="C12" s="7">
        <f>VLOOKUP(Cod,Datos,6,0)</f>
        <v>15245241</v>
      </c>
      <c r="D12" s="6"/>
      <c r="E12" s="6"/>
      <c r="F12" s="6" t="s">
        <v>6</v>
      </c>
      <c r="G12" s="6"/>
      <c r="H12" s="7" t="str">
        <f>VLOOKUP(Cod,Datos,10,0)</f>
        <v>EL ROBLE</v>
      </c>
      <c r="I12" s="6"/>
    </row>
    <row r="13" spans="2:9" s="9" customFormat="1" ht="12" x14ac:dyDescent="0.25">
      <c r="B13" s="49"/>
      <c r="C13" s="49"/>
      <c r="D13" s="49"/>
      <c r="E13" s="49"/>
      <c r="F13" s="6"/>
      <c r="G13" s="6"/>
      <c r="H13" s="6"/>
      <c r="I13" s="6"/>
    </row>
    <row r="14" spans="2:9" s="9" customFormat="1" ht="12" x14ac:dyDescent="0.25">
      <c r="B14" s="49" t="s">
        <v>91</v>
      </c>
      <c r="C14" s="12">
        <f>VLOOKUP(Cod,Datos,7,0)</f>
        <v>29365</v>
      </c>
      <c r="D14" s="6"/>
      <c r="E14" s="6"/>
      <c r="F14" s="6" t="s">
        <v>7</v>
      </c>
      <c r="G14" s="6"/>
      <c r="H14" s="12">
        <f>VLOOKUP(Cod,Datos,11,0)</f>
        <v>38460</v>
      </c>
      <c r="I14" s="6"/>
    </row>
    <row r="16" spans="2:9" x14ac:dyDescent="0.3">
      <c r="B16" s="13" t="s">
        <v>8</v>
      </c>
      <c r="C16" s="14"/>
      <c r="D16" s="15">
        <f>VLOOKUP(Cod,Datos,12,0)</f>
        <v>1800</v>
      </c>
      <c r="E16" s="14"/>
      <c r="F16" s="14" t="s">
        <v>9</v>
      </c>
      <c r="G16" s="52">
        <f>VLOOKUP(H12,Afp,2,0)</f>
        <v>0.12</v>
      </c>
      <c r="H16" s="15">
        <f>G16*D23</f>
        <v>259.2</v>
      </c>
      <c r="I16" s="14"/>
    </row>
    <row r="17" spans="2:9" ht="9" customHeight="1" x14ac:dyDescent="0.3">
      <c r="B17" s="14"/>
      <c r="C17" s="14"/>
      <c r="D17" s="14"/>
      <c r="E17" s="14"/>
      <c r="F17" s="14"/>
      <c r="G17" s="14"/>
      <c r="H17" s="14"/>
      <c r="I17" s="14"/>
    </row>
    <row r="18" spans="2:9" x14ac:dyDescent="0.3">
      <c r="B18" s="13" t="s">
        <v>10</v>
      </c>
      <c r="C18" s="14"/>
      <c r="D18" s="15">
        <v>360</v>
      </c>
      <c r="E18" s="14"/>
      <c r="F18" s="14" t="s">
        <v>11</v>
      </c>
      <c r="G18" s="66">
        <v>0.05</v>
      </c>
      <c r="H18" s="15">
        <f>G18*D16</f>
        <v>90</v>
      </c>
      <c r="I18" s="14"/>
    </row>
    <row r="19" spans="2:9" ht="9" customHeight="1" x14ac:dyDescent="0.3">
      <c r="B19" s="14"/>
      <c r="C19" s="14"/>
      <c r="D19" s="14"/>
      <c r="E19" s="14"/>
      <c r="F19" s="14"/>
      <c r="G19" s="14"/>
      <c r="H19" s="14"/>
      <c r="I19" s="14"/>
    </row>
    <row r="20" spans="2:9" x14ac:dyDescent="0.3">
      <c r="B20" s="16" t="s">
        <v>12</v>
      </c>
      <c r="C20" s="37">
        <v>0</v>
      </c>
      <c r="D20" s="15">
        <f>C20*30</f>
        <v>0</v>
      </c>
      <c r="E20" s="14"/>
      <c r="F20" s="14" t="s">
        <v>13</v>
      </c>
      <c r="G20" s="14"/>
      <c r="H20" s="15">
        <f>0.05*D16</f>
        <v>90</v>
      </c>
      <c r="I20" s="14"/>
    </row>
    <row r="21" spans="2:9" x14ac:dyDescent="0.3">
      <c r="B21" s="14"/>
      <c r="C21" s="14"/>
      <c r="D21" s="14"/>
      <c r="E21" s="14"/>
      <c r="F21" s="14"/>
      <c r="G21" s="14"/>
      <c r="H21" s="14"/>
      <c r="I21" s="14"/>
    </row>
    <row r="22" spans="2:9" x14ac:dyDescent="0.3">
      <c r="B22" s="14"/>
      <c r="C22" s="14"/>
      <c r="D22" s="14"/>
      <c r="E22" s="14"/>
      <c r="F22" s="14"/>
      <c r="G22" s="14"/>
      <c r="H22" s="14"/>
      <c r="I22" s="14"/>
    </row>
    <row r="23" spans="2:9" x14ac:dyDescent="0.3">
      <c r="B23" s="14" t="s">
        <v>93</v>
      </c>
      <c r="C23" s="14"/>
      <c r="D23" s="15">
        <f>SUM(D16:D20)</f>
        <v>2160</v>
      </c>
      <c r="E23" s="14"/>
      <c r="F23" s="14" t="s">
        <v>14</v>
      </c>
      <c r="G23" s="14"/>
      <c r="H23" s="15">
        <f>SUM(H16,H18,H20)</f>
        <v>439.2</v>
      </c>
      <c r="I23" s="14"/>
    </row>
    <row r="25" spans="2:9" x14ac:dyDescent="0.3">
      <c r="B25" s="17"/>
      <c r="C25" s="18"/>
      <c r="D25" s="17"/>
      <c r="E25" s="18"/>
      <c r="F25" s="19"/>
      <c r="G25" s="54" t="s">
        <v>92</v>
      </c>
      <c r="H25" s="55"/>
      <c r="I25" s="56"/>
    </row>
    <row r="26" spans="2:9" x14ac:dyDescent="0.3">
      <c r="B26" s="20"/>
      <c r="D26" s="20"/>
      <c r="F26" s="21"/>
      <c r="G26" s="57">
        <f>D23-H23</f>
        <v>1720.8</v>
      </c>
      <c r="H26" s="58"/>
      <c r="I26" s="59"/>
    </row>
    <row r="27" spans="2:9" x14ac:dyDescent="0.3">
      <c r="B27" s="20"/>
      <c r="D27" s="20"/>
      <c r="F27" s="21"/>
      <c r="G27" s="60"/>
      <c r="H27" s="61"/>
      <c r="I27" s="62"/>
    </row>
    <row r="28" spans="2:9" ht="13.5" customHeight="1" x14ac:dyDescent="0.3">
      <c r="B28" s="54" t="s">
        <v>15</v>
      </c>
      <c r="C28" s="56"/>
      <c r="D28" s="54" t="s">
        <v>16</v>
      </c>
      <c r="E28" s="55"/>
      <c r="F28" s="56"/>
      <c r="G28" s="63"/>
      <c r="H28" s="64"/>
      <c r="I28" s="65"/>
    </row>
    <row r="30" spans="2:9" x14ac:dyDescent="0.3">
      <c r="G30" s="22"/>
    </row>
  </sheetData>
  <mergeCells count="5">
    <mergeCell ref="B3:I3"/>
    <mergeCell ref="G25:I25"/>
    <mergeCell ref="G26:I28"/>
    <mergeCell ref="B28:C28"/>
    <mergeCell ref="D28:F28"/>
  </mergeCells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Group Box 1">
              <controlPr defaultSize="0" autoFill="0" autoPict="0">
                <anchor moveWithCells="1">
                  <from>
                    <xdr:col>0</xdr:col>
                    <xdr:colOff>678180</xdr:colOff>
                    <xdr:row>4</xdr:row>
                    <xdr:rowOff>68580</xdr:rowOff>
                  </from>
                  <to>
                    <xdr:col>8</xdr:col>
                    <xdr:colOff>144780</xdr:colOff>
                    <xdr:row>14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Group Box 2">
              <controlPr defaultSize="0" autoFill="0" autoPict="0">
                <anchor moveWithCells="1">
                  <from>
                    <xdr:col>0</xdr:col>
                    <xdr:colOff>678180</xdr:colOff>
                    <xdr:row>14</xdr:row>
                    <xdr:rowOff>121920</xdr:rowOff>
                  </from>
                  <to>
                    <xdr:col>4</xdr:col>
                    <xdr:colOff>228600</xdr:colOff>
                    <xdr:row>23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Group Box 3">
              <controlPr defaultSize="0" autoFill="0" autoPict="0">
                <anchor moveWithCells="1">
                  <from>
                    <xdr:col>4</xdr:col>
                    <xdr:colOff>411480</xdr:colOff>
                    <xdr:row>14</xdr:row>
                    <xdr:rowOff>121920</xdr:rowOff>
                  </from>
                  <to>
                    <xdr:col>8</xdr:col>
                    <xdr:colOff>182880</xdr:colOff>
                    <xdr:row>23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RESTABLECER">
                <anchor moveWithCells="1" sizeWithCells="1">
                  <from>
                    <xdr:col>1</xdr:col>
                    <xdr:colOff>1181100</xdr:colOff>
                    <xdr:row>28</xdr:row>
                    <xdr:rowOff>190500</xdr:rowOff>
                  </from>
                  <to>
                    <xdr:col>3</xdr:col>
                    <xdr:colOff>716280</xdr:colOff>
                    <xdr:row>30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Vista">
                <anchor moveWithCells="1" sizeWithCells="1">
                  <from>
                    <xdr:col>4</xdr:col>
                    <xdr:colOff>480060</xdr:colOff>
                    <xdr:row>29</xdr:row>
                    <xdr:rowOff>7620</xdr:rowOff>
                  </from>
                  <to>
                    <xdr:col>6</xdr:col>
                    <xdr:colOff>670560</xdr:colOff>
                    <xdr:row>30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9" name="Drop Down 11">
              <controlPr defaultSize="0" autoLine="0" autoPict="0" macro="[0]!ConsultaDatos">
                <anchor moveWithCells="1">
                  <from>
                    <xdr:col>2</xdr:col>
                    <xdr:colOff>0</xdr:colOff>
                    <xdr:row>4</xdr:row>
                    <xdr:rowOff>205740</xdr:rowOff>
                  </from>
                  <to>
                    <xdr:col>3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6"/>
  <dimension ref="A1:L25"/>
  <sheetViews>
    <sheetView topLeftCell="G1" zoomScale="160" zoomScaleNormal="160" workbookViewId="0">
      <selection activeCell="G17" sqref="G17"/>
    </sheetView>
  </sheetViews>
  <sheetFormatPr baseColWidth="10" defaultColWidth="11.44140625" defaultRowHeight="14.4" x14ac:dyDescent="0.3"/>
  <cols>
    <col min="1" max="3" width="11.44140625" style="2"/>
    <col min="4" max="5" width="17" style="2" customWidth="1"/>
    <col min="6" max="6" width="12.6640625" style="2" bestFit="1" customWidth="1"/>
    <col min="7" max="7" width="11.44140625" style="2"/>
    <col min="8" max="8" width="18" style="2" bestFit="1" customWidth="1"/>
    <col min="9" max="16384" width="11.44140625" style="2"/>
  </cols>
  <sheetData>
    <row r="1" spans="1:12" x14ac:dyDescent="0.3">
      <c r="A1" s="38" t="s">
        <v>17</v>
      </c>
      <c r="B1" s="39" t="s">
        <v>18</v>
      </c>
      <c r="C1" s="39" t="s">
        <v>19</v>
      </c>
      <c r="D1" s="39" t="s">
        <v>20</v>
      </c>
      <c r="E1" s="39" t="s">
        <v>21</v>
      </c>
      <c r="F1" s="39" t="s">
        <v>22</v>
      </c>
      <c r="G1" s="39" t="s">
        <v>23</v>
      </c>
      <c r="H1" s="39" t="s">
        <v>24</v>
      </c>
      <c r="I1" s="39" t="s">
        <v>25</v>
      </c>
      <c r="J1" s="39" t="s">
        <v>26</v>
      </c>
      <c r="K1" s="39" t="s">
        <v>27</v>
      </c>
      <c r="L1" s="40" t="s">
        <v>28</v>
      </c>
    </row>
    <row r="2" spans="1:12" x14ac:dyDescent="0.3">
      <c r="A2" s="41">
        <v>1</v>
      </c>
      <c r="B2" s="42" t="s">
        <v>29</v>
      </c>
      <c r="C2" s="42" t="s">
        <v>30</v>
      </c>
      <c r="D2" s="42" t="s">
        <v>31</v>
      </c>
      <c r="E2" s="42" t="s">
        <v>32</v>
      </c>
      <c r="F2" s="42">
        <v>25452145</v>
      </c>
      <c r="G2" s="43">
        <v>29356</v>
      </c>
      <c r="H2" s="42" t="s">
        <v>33</v>
      </c>
      <c r="I2" s="42" t="s">
        <v>34</v>
      </c>
      <c r="J2" s="42" t="s">
        <v>35</v>
      </c>
      <c r="K2" s="43">
        <v>40688</v>
      </c>
      <c r="L2" s="44">
        <v>4000</v>
      </c>
    </row>
    <row r="3" spans="1:12" x14ac:dyDescent="0.3">
      <c r="A3" s="41">
        <v>2</v>
      </c>
      <c r="B3" s="42" t="s">
        <v>36</v>
      </c>
      <c r="C3" s="42" t="s">
        <v>37</v>
      </c>
      <c r="D3" s="42" t="s">
        <v>38</v>
      </c>
      <c r="E3" s="42" t="s">
        <v>39</v>
      </c>
      <c r="F3" s="42">
        <v>12458745</v>
      </c>
      <c r="G3" s="43">
        <v>29357</v>
      </c>
      <c r="H3" s="42" t="s">
        <v>33</v>
      </c>
      <c r="I3" s="42" t="s">
        <v>40</v>
      </c>
      <c r="J3" s="42" t="s">
        <v>41</v>
      </c>
      <c r="K3" s="43">
        <v>36672</v>
      </c>
      <c r="L3" s="44">
        <v>1500</v>
      </c>
    </row>
    <row r="4" spans="1:12" x14ac:dyDescent="0.3">
      <c r="A4" s="41">
        <v>3</v>
      </c>
      <c r="B4" s="42" t="s">
        <v>42</v>
      </c>
      <c r="C4" s="42" t="s">
        <v>43</v>
      </c>
      <c r="D4" s="42" t="s">
        <v>44</v>
      </c>
      <c r="E4" s="42" t="s">
        <v>39</v>
      </c>
      <c r="F4" s="42">
        <v>32658745</v>
      </c>
      <c r="G4" s="43">
        <v>29358</v>
      </c>
      <c r="H4" s="42" t="s">
        <v>33</v>
      </c>
      <c r="I4" s="42" t="s">
        <v>40</v>
      </c>
      <c r="J4" s="42" t="s">
        <v>45</v>
      </c>
      <c r="K4" s="43">
        <v>41056</v>
      </c>
      <c r="L4" s="44">
        <v>1500</v>
      </c>
    </row>
    <row r="5" spans="1:12" x14ac:dyDescent="0.3">
      <c r="A5" s="41">
        <v>4</v>
      </c>
      <c r="B5" s="42" t="s">
        <v>46</v>
      </c>
      <c r="C5" s="42" t="s">
        <v>47</v>
      </c>
      <c r="D5" s="42" t="s">
        <v>48</v>
      </c>
      <c r="E5" s="42" t="s">
        <v>49</v>
      </c>
      <c r="F5" s="42">
        <v>65548798</v>
      </c>
      <c r="G5" s="43">
        <v>29359</v>
      </c>
      <c r="H5" s="42" t="s">
        <v>50</v>
      </c>
      <c r="I5" s="42" t="s">
        <v>34</v>
      </c>
      <c r="J5" s="42" t="s">
        <v>35</v>
      </c>
      <c r="K5" s="43">
        <v>36674</v>
      </c>
      <c r="L5" s="44">
        <v>1600</v>
      </c>
    </row>
    <row r="6" spans="1:12" x14ac:dyDescent="0.3">
      <c r="A6" s="41">
        <v>5</v>
      </c>
      <c r="B6" s="42" t="s">
        <v>51</v>
      </c>
      <c r="C6" s="42" t="s">
        <v>52</v>
      </c>
      <c r="D6" s="42" t="s">
        <v>53</v>
      </c>
      <c r="E6" s="42" t="s">
        <v>49</v>
      </c>
      <c r="F6" s="42">
        <v>32215465</v>
      </c>
      <c r="G6" s="43">
        <v>31186</v>
      </c>
      <c r="H6" s="42" t="s">
        <v>50</v>
      </c>
      <c r="I6" s="42" t="s">
        <v>34</v>
      </c>
      <c r="J6" s="42" t="s">
        <v>41</v>
      </c>
      <c r="K6" s="43">
        <v>36675</v>
      </c>
      <c r="L6" s="44">
        <v>1600</v>
      </c>
    </row>
    <row r="7" spans="1:12" x14ac:dyDescent="0.3">
      <c r="A7" s="41">
        <v>6</v>
      </c>
      <c r="B7" s="42" t="s">
        <v>54</v>
      </c>
      <c r="C7" s="42" t="s">
        <v>55</v>
      </c>
      <c r="D7" s="42" t="s">
        <v>56</v>
      </c>
      <c r="E7" s="42" t="s">
        <v>57</v>
      </c>
      <c r="F7" s="42">
        <v>32655498</v>
      </c>
      <c r="G7" s="43">
        <v>29361</v>
      </c>
      <c r="H7" s="42" t="s">
        <v>33</v>
      </c>
      <c r="I7" s="42" t="s">
        <v>40</v>
      </c>
      <c r="J7" s="42" t="s">
        <v>45</v>
      </c>
      <c r="K7" s="43">
        <v>40328</v>
      </c>
      <c r="L7" s="44">
        <v>1800</v>
      </c>
    </row>
    <row r="8" spans="1:12" x14ac:dyDescent="0.3">
      <c r="A8" s="41">
        <v>7</v>
      </c>
      <c r="B8" s="42" t="s">
        <v>58</v>
      </c>
      <c r="C8" s="42" t="s">
        <v>59</v>
      </c>
      <c r="D8" s="42" t="s">
        <v>60</v>
      </c>
      <c r="E8" s="42" t="s">
        <v>57</v>
      </c>
      <c r="F8" s="42">
        <v>32546565</v>
      </c>
      <c r="G8" s="43">
        <v>29362</v>
      </c>
      <c r="H8" s="42" t="s">
        <v>33</v>
      </c>
      <c r="I8" s="42" t="s">
        <v>40</v>
      </c>
      <c r="J8" s="42" t="s">
        <v>35</v>
      </c>
      <c r="K8" s="43">
        <v>39553</v>
      </c>
      <c r="L8" s="44">
        <v>1800</v>
      </c>
    </row>
    <row r="9" spans="1:12" x14ac:dyDescent="0.3">
      <c r="A9" s="41">
        <v>8</v>
      </c>
      <c r="B9" s="42" t="s">
        <v>61</v>
      </c>
      <c r="C9" s="42" t="s">
        <v>62</v>
      </c>
      <c r="D9" s="42" t="s">
        <v>63</v>
      </c>
      <c r="E9" s="42" t="s">
        <v>49</v>
      </c>
      <c r="F9" s="42">
        <v>54986565</v>
      </c>
      <c r="G9" s="43">
        <v>32238</v>
      </c>
      <c r="H9" s="42" t="s">
        <v>50</v>
      </c>
      <c r="I9" s="42" t="s">
        <v>34</v>
      </c>
      <c r="J9" s="42" t="s">
        <v>41</v>
      </c>
      <c r="K9" s="43">
        <v>38458</v>
      </c>
      <c r="L9" s="44">
        <v>1600</v>
      </c>
    </row>
    <row r="10" spans="1:12" x14ac:dyDescent="0.3">
      <c r="A10" s="41">
        <v>9</v>
      </c>
      <c r="B10" s="42" t="s">
        <v>64</v>
      </c>
      <c r="C10" s="42" t="s">
        <v>65</v>
      </c>
      <c r="D10" s="42" t="s">
        <v>66</v>
      </c>
      <c r="E10" s="42" t="s">
        <v>39</v>
      </c>
      <c r="F10" s="42">
        <v>32456598</v>
      </c>
      <c r="G10" s="43">
        <v>29364</v>
      </c>
      <c r="H10" s="42" t="s">
        <v>33</v>
      </c>
      <c r="I10" s="42" t="s">
        <v>40</v>
      </c>
      <c r="J10" s="42" t="s">
        <v>45</v>
      </c>
      <c r="K10" s="43">
        <v>38459</v>
      </c>
      <c r="L10" s="44">
        <v>1500</v>
      </c>
    </row>
    <row r="11" spans="1:12" x14ac:dyDescent="0.3">
      <c r="A11" s="41">
        <v>10</v>
      </c>
      <c r="B11" s="42" t="s">
        <v>67</v>
      </c>
      <c r="C11" s="42" t="s">
        <v>68</v>
      </c>
      <c r="D11" s="42" t="s">
        <v>69</v>
      </c>
      <c r="E11" s="42" t="s">
        <v>57</v>
      </c>
      <c r="F11" s="42">
        <v>15245241</v>
      </c>
      <c r="G11" s="43">
        <v>29365</v>
      </c>
      <c r="H11" s="42" t="s">
        <v>33</v>
      </c>
      <c r="I11" s="42" t="s">
        <v>40</v>
      </c>
      <c r="J11" s="42" t="s">
        <v>35</v>
      </c>
      <c r="K11" s="43">
        <v>38460</v>
      </c>
      <c r="L11" s="44">
        <v>1800</v>
      </c>
    </row>
    <row r="12" spans="1:12" x14ac:dyDescent="0.3">
      <c r="A12" s="41">
        <v>11</v>
      </c>
      <c r="B12" s="42" t="s">
        <v>70</v>
      </c>
      <c r="C12" s="42" t="s">
        <v>71</v>
      </c>
      <c r="D12" s="42" t="s">
        <v>72</v>
      </c>
      <c r="E12" s="42" t="s">
        <v>49</v>
      </c>
      <c r="F12" s="42">
        <v>65852545</v>
      </c>
      <c r="G12" s="43">
        <v>30056</v>
      </c>
      <c r="H12" s="42" t="s">
        <v>50</v>
      </c>
      <c r="I12" s="42" t="s">
        <v>34</v>
      </c>
      <c r="J12" s="42" t="s">
        <v>41</v>
      </c>
      <c r="K12" s="43">
        <v>42113</v>
      </c>
      <c r="L12" s="44">
        <v>1600</v>
      </c>
    </row>
    <row r="13" spans="1:12" x14ac:dyDescent="0.3">
      <c r="A13" s="45">
        <v>12</v>
      </c>
      <c r="B13" s="46" t="s">
        <v>73</v>
      </c>
      <c r="C13" s="46" t="s">
        <v>74</v>
      </c>
      <c r="D13" s="46" t="s">
        <v>75</v>
      </c>
      <c r="E13" s="46" t="s">
        <v>49</v>
      </c>
      <c r="F13" s="46">
        <v>65985454</v>
      </c>
      <c r="G13" s="47">
        <v>30057</v>
      </c>
      <c r="H13" s="46" t="s">
        <v>50</v>
      </c>
      <c r="I13" s="46" t="s">
        <v>34</v>
      </c>
      <c r="J13" s="46" t="s">
        <v>45</v>
      </c>
      <c r="K13" s="47">
        <v>42114</v>
      </c>
      <c r="L13" s="48">
        <v>1600</v>
      </c>
    </row>
    <row r="19" spans="8:8" x14ac:dyDescent="0.3">
      <c r="H19" s="23"/>
    </row>
    <row r="20" spans="8:8" x14ac:dyDescent="0.3">
      <c r="H20" s="9"/>
    </row>
    <row r="21" spans="8:8" x14ac:dyDescent="0.3">
      <c r="H21" s="9"/>
    </row>
    <row r="22" spans="8:8" x14ac:dyDescent="0.3">
      <c r="H22" s="9"/>
    </row>
    <row r="23" spans="8:8" x14ac:dyDescent="0.3">
      <c r="H23" s="9"/>
    </row>
    <row r="24" spans="8:8" x14ac:dyDescent="0.3">
      <c r="H24" s="9"/>
    </row>
    <row r="25" spans="8:8" x14ac:dyDescent="0.3">
      <c r="H25" s="9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7"/>
  <dimension ref="A1:G32"/>
  <sheetViews>
    <sheetView zoomScale="115" zoomScaleNormal="115" workbookViewId="0">
      <selection activeCell="J1" sqref="J1"/>
    </sheetView>
  </sheetViews>
  <sheetFormatPr baseColWidth="10" defaultColWidth="11.44140625" defaultRowHeight="14.4" x14ac:dyDescent="0.3"/>
  <cols>
    <col min="1" max="1" width="11.44140625" style="14"/>
    <col min="2" max="2" width="17.5546875" style="14" customWidth="1"/>
    <col min="3" max="16384" width="11.44140625" style="14"/>
  </cols>
  <sheetData>
    <row r="1" spans="1:7" ht="33.6" x14ac:dyDescent="0.65">
      <c r="A1" s="24" t="s">
        <v>76</v>
      </c>
      <c r="B1" s="24"/>
    </row>
    <row r="2" spans="1:7" ht="21" x14ac:dyDescent="0.4">
      <c r="B2" s="25" t="s">
        <v>101</v>
      </c>
    </row>
    <row r="3" spans="1:7" ht="21" x14ac:dyDescent="0.4">
      <c r="B3" s="25" t="s">
        <v>77</v>
      </c>
    </row>
    <row r="4" spans="1:7" ht="21" x14ac:dyDescent="0.4">
      <c r="B4" s="25" t="s">
        <v>78</v>
      </c>
    </row>
    <row r="5" spans="1:7" x14ac:dyDescent="0.3">
      <c r="G5" s="26"/>
    </row>
    <row r="6" spans="1:7" x14ac:dyDescent="0.3">
      <c r="G6" s="27"/>
    </row>
    <row r="7" spans="1:7" x14ac:dyDescent="0.3">
      <c r="G7" s="27"/>
    </row>
    <row r="8" spans="1:7" x14ac:dyDescent="0.3">
      <c r="A8" s="28" t="s">
        <v>79</v>
      </c>
      <c r="B8" s="28"/>
    </row>
    <row r="10" spans="1:7" x14ac:dyDescent="0.3">
      <c r="B10" s="14" t="s">
        <v>80</v>
      </c>
      <c r="G10" s="27"/>
    </row>
    <row r="11" spans="1:7" ht="18" x14ac:dyDescent="0.35">
      <c r="B11" s="29" t="s">
        <v>81</v>
      </c>
      <c r="C11" s="30" t="s">
        <v>99</v>
      </c>
      <c r="G11" s="27"/>
    </row>
    <row r="12" spans="1:7" ht="15.6" x14ac:dyDescent="0.3">
      <c r="B12" s="14" t="s">
        <v>100</v>
      </c>
      <c r="C12" s="30"/>
      <c r="G12" s="27"/>
    </row>
    <row r="13" spans="1:7" ht="18" x14ac:dyDescent="0.35">
      <c r="B13" s="29" t="s">
        <v>82</v>
      </c>
      <c r="C13" s="30" t="s">
        <v>95</v>
      </c>
      <c r="G13" s="27"/>
    </row>
    <row r="14" spans="1:7" ht="23.4" x14ac:dyDescent="0.45">
      <c r="B14" s="31" t="s">
        <v>83</v>
      </c>
      <c r="G14" s="27"/>
    </row>
    <row r="15" spans="1:7" x14ac:dyDescent="0.3">
      <c r="G15" s="27"/>
    </row>
    <row r="16" spans="1:7" x14ac:dyDescent="0.3">
      <c r="G16" s="27"/>
    </row>
    <row r="17" spans="2:7" x14ac:dyDescent="0.3">
      <c r="G17" s="27"/>
    </row>
    <row r="18" spans="2:7" x14ac:dyDescent="0.3">
      <c r="B18" s="14" t="s">
        <v>84</v>
      </c>
      <c r="G18" s="27"/>
    </row>
    <row r="19" spans="2:7" ht="18" x14ac:dyDescent="0.35">
      <c r="B19" s="32" t="s">
        <v>9</v>
      </c>
      <c r="C19" s="33" t="s">
        <v>85</v>
      </c>
      <c r="D19" s="33" t="s">
        <v>86</v>
      </c>
      <c r="G19" s="27"/>
    </row>
    <row r="20" spans="2:7" ht="18" x14ac:dyDescent="0.35">
      <c r="B20" s="32"/>
      <c r="C20" s="33" t="s">
        <v>35</v>
      </c>
      <c r="D20" s="34">
        <v>0.12</v>
      </c>
      <c r="E20" s="14" t="s">
        <v>96</v>
      </c>
      <c r="G20" s="27"/>
    </row>
    <row r="21" spans="2:7" ht="18" x14ac:dyDescent="0.35">
      <c r="B21" s="32"/>
      <c r="C21" s="33" t="s">
        <v>41</v>
      </c>
      <c r="D21" s="34">
        <v>0.13</v>
      </c>
      <c r="E21" s="14" t="s">
        <v>96</v>
      </c>
      <c r="G21" s="27"/>
    </row>
    <row r="22" spans="2:7" ht="18" x14ac:dyDescent="0.35">
      <c r="B22" s="32"/>
      <c r="C22" s="33" t="s">
        <v>45</v>
      </c>
      <c r="D22" s="34">
        <v>0.14000000000000001</v>
      </c>
      <c r="E22" s="14" t="s">
        <v>96</v>
      </c>
      <c r="G22" s="27"/>
    </row>
    <row r="24" spans="2:7" ht="18" x14ac:dyDescent="0.35">
      <c r="B24" s="35" t="s">
        <v>11</v>
      </c>
      <c r="C24" s="14" t="s">
        <v>97</v>
      </c>
      <c r="G24" s="27"/>
    </row>
    <row r="25" spans="2:7" ht="18" x14ac:dyDescent="0.35">
      <c r="B25" s="35" t="s">
        <v>87</v>
      </c>
      <c r="C25" s="14" t="s">
        <v>88</v>
      </c>
      <c r="G25" s="27"/>
    </row>
    <row r="26" spans="2:7" ht="23.4" x14ac:dyDescent="0.45">
      <c r="B26" s="31" t="s">
        <v>89</v>
      </c>
    </row>
    <row r="30" spans="2:7" x14ac:dyDescent="0.3">
      <c r="B30" s="14" t="s">
        <v>84</v>
      </c>
    </row>
    <row r="31" spans="2:7" x14ac:dyDescent="0.3">
      <c r="B31" s="14" t="s">
        <v>90</v>
      </c>
    </row>
    <row r="32" spans="2:7" x14ac:dyDescent="0.3">
      <c r="C32" s="36"/>
    </row>
  </sheetData>
  <pageMargins left="0.7" right="0.7" top="0.75" bottom="0.75" header="0.3" footer="0.3"/>
  <pageSetup orientation="portrait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1]!remunera">
                <anchor moveWithCells="1" sizeWithCells="1">
                  <from>
                    <xdr:col>0</xdr:col>
                    <xdr:colOff>22860</xdr:colOff>
                    <xdr:row>6</xdr:row>
                    <xdr:rowOff>160020</xdr:rowOff>
                  </from>
                  <to>
                    <xdr:col>2</xdr:col>
                    <xdr:colOff>7620</xdr:colOff>
                    <xdr:row>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1]!aportes">
                <anchor moveWithCells="1" sizeWithCells="1">
                  <from>
                    <xdr:col>0</xdr:col>
                    <xdr:colOff>38100</xdr:colOff>
                    <xdr:row>15</xdr:row>
                    <xdr:rowOff>7620</xdr:rowOff>
                  </from>
                  <to>
                    <xdr:col>1</xdr:col>
                    <xdr:colOff>1112520</xdr:colOff>
                    <xdr:row>16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1]!NETO_PAGAR">
                <anchor moveWithCells="1" sizeWithCells="1">
                  <from>
                    <xdr:col>0</xdr:col>
                    <xdr:colOff>68580</xdr:colOff>
                    <xdr:row>26</xdr:row>
                    <xdr:rowOff>160020</xdr:rowOff>
                  </from>
                  <to>
                    <xdr:col>1</xdr:col>
                    <xdr:colOff>1112520</xdr:colOff>
                    <xdr:row>28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5</vt:i4>
      </vt:variant>
    </vt:vector>
  </HeadingPairs>
  <TitlesOfParts>
    <vt:vector size="8" baseType="lpstr">
      <vt:lpstr>Boleta</vt:lpstr>
      <vt:lpstr>tabla</vt:lpstr>
      <vt:lpstr>Consideraciones</vt:lpstr>
      <vt:lpstr>Afp</vt:lpstr>
      <vt:lpstr>Boleta!Área_de_impresión</vt:lpstr>
      <vt:lpstr>Cod</vt:lpstr>
      <vt:lpstr>Codigo</vt:lpstr>
      <vt:lpstr>Datos</vt:lpstr>
    </vt:vector>
  </TitlesOfParts>
  <Company>Soluciones Integrales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</dc:creator>
  <cp:lastModifiedBy>Usuario</cp:lastModifiedBy>
  <cp:lastPrinted>2022-12-19T21:12:56Z</cp:lastPrinted>
  <dcterms:created xsi:type="dcterms:W3CDTF">2002-01-01T05:09:21Z</dcterms:created>
  <dcterms:modified xsi:type="dcterms:W3CDTF">2022-12-19T21:27:33Z</dcterms:modified>
</cp:coreProperties>
</file>